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bhisek\2k26\October\2\Task 1\"/>
    </mc:Choice>
  </mc:AlternateContent>
  <xr:revisionPtr revIDLastSave="0" documentId="13_ncr:1_{221D7594-0E3B-4C05-97D8-556C62579D5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 Me" sheetId="1" r:id="rId1"/>
    <sheet name="Asset Register" sheetId="2" r:id="rId2"/>
    <sheet name="TVAMatrix Practice" sheetId="3" r:id="rId3"/>
    <sheet name="Requirement Check" sheetId="4" r:id="rId4"/>
    <sheet name="Section 4.3.2 Controls" sheetId="5" r:id="rId5"/>
  </sheets>
  <calcPr calcId="191029"/>
</workbook>
</file>

<file path=xl/calcChain.xml><?xml version="1.0" encoding="utf-8"?>
<calcChain xmlns="http://schemas.openxmlformats.org/spreadsheetml/2006/main">
  <c r="N15" i="3" l="1"/>
  <c r="J15" i="3"/>
  <c r="N14" i="3"/>
  <c r="J14" i="3"/>
  <c r="N13" i="3"/>
  <c r="J13" i="3"/>
  <c r="N12" i="3"/>
  <c r="J12" i="3"/>
  <c r="N11" i="3"/>
  <c r="J11" i="3"/>
  <c r="N10" i="3"/>
  <c r="J10" i="3"/>
  <c r="N9" i="3"/>
  <c r="J9" i="3"/>
  <c r="N8" i="3"/>
  <c r="J8" i="3"/>
  <c r="N7" i="3"/>
  <c r="J7" i="3"/>
  <c r="N6" i="3"/>
  <c r="J6" i="3"/>
  <c r="N5" i="3"/>
  <c r="J5" i="3"/>
  <c r="N4" i="3"/>
  <c r="J4" i="3"/>
</calcChain>
</file>

<file path=xl/sharedStrings.xml><?xml version="1.0" encoding="utf-8"?>
<sst xmlns="http://schemas.openxmlformats.org/spreadsheetml/2006/main" count="359" uniqueCount="257">
  <si>
    <t>COIT20246 – Cyber Security Risk Assessment</t>
  </si>
  <si>
    <t>Status</t>
  </si>
  <si>
    <t>POPULATED PRACTICE DRAFT – must be checked against the official TVAMatrix template and the students' own evidence before submission.</t>
  </si>
  <si>
    <t>Assessment basis</t>
  </si>
  <si>
    <t>Small Brisbane IT and business consultancy; 8 staff; OpenWrt router/firewall; Windows workstations; business website hosted on the router.</t>
  </si>
  <si>
    <t>Students</t>
  </si>
  <si>
    <t>Pavan Reddy Chinthalapally – 12327397; Patel Ronak Ghanshyambhai – 12328755</t>
  </si>
  <si>
    <t>Lab network</t>
  </si>
  <si>
    <t>Windows host 192.168.56.1/24; OpenWrt br-mng 192.168.56.2/24; OpenWrt eth1/NAT 10.0.3.15/24.</t>
  </si>
  <si>
    <t>Production network</t>
  </si>
  <si>
    <t>97.0.0.0/24; OpenWrt gateway 97.0.0.1; web server 97.0.0.10; staff 97.0.0.20–97.0.0.27.</t>
  </si>
  <si>
    <t>Observed security work</t>
  </si>
  <si>
    <t>HTTP port 80 block/allow; SSH moved from 22 to 2222; ICMP block/allow; management interface restriction; root password changed; /etc/shadow inspected; Ed25519 SSH key authentication; unnecessary service disabled; HTTP/SSH packet captures.</t>
  </si>
  <si>
    <t>Important</t>
  </si>
  <si>
    <t>The supplied assignment states that AI-generated risk-assessment entries are not acceptable for submission. This populated workbook is therefore provided only as a worked practice draft. The students should replace/verify entries using their official TVAMatrix, unit terminology, actual screenshots/configuration and their own judgement.</t>
  </si>
  <si>
    <t>Scenario Asset Register</t>
  </si>
  <si>
    <t>Asset ID</t>
  </si>
  <si>
    <t>Asset</t>
  </si>
  <si>
    <t>Asset Type</t>
  </si>
  <si>
    <t>Data Asset?</t>
  </si>
  <si>
    <t>Location / IP</t>
  </si>
  <si>
    <t>Security importance</t>
  </si>
  <si>
    <t>Relevant project evidence</t>
  </si>
  <si>
    <t>A01</t>
  </si>
  <si>
    <t>OpenWrt router/firewall</t>
  </si>
  <si>
    <t>Hardware / network infrastructure</t>
  </si>
  <si>
    <t>N</t>
  </si>
  <si>
    <t>192.168.56.2 lab; 97.0.0.1 production</t>
  </si>
  <si>
    <t>Gateway, firewall, SSH and web services</t>
  </si>
  <si>
    <t>Sections 4.1.2, 4.1.3, 4.2.1</t>
  </si>
  <si>
    <t>A02</t>
  </si>
  <si>
    <t>Windows staff workstations</t>
  </si>
  <si>
    <t>Hardware / endpoint</t>
  </si>
  <si>
    <t>Production 97.0.0.20–27</t>
  </si>
  <si>
    <t>Business operations and client access</t>
  </si>
  <si>
    <t>Production network design</t>
  </si>
  <si>
    <t>A03</t>
  </si>
  <si>
    <t>Business web server/uhttpd</t>
  </si>
  <si>
    <t>Software / service</t>
  </si>
  <si>
    <t>192.168.56.2:80 lab; 97.0.0.10 production</t>
  </si>
  <si>
    <t>Public website availability</t>
  </si>
  <si>
    <t>HTTP firewall demonstration</t>
  </si>
  <si>
    <t>A04</t>
  </si>
  <si>
    <t>Customer contact information</t>
  </si>
  <si>
    <t>Information / data</t>
  </si>
  <si>
    <t>Y</t>
  </si>
  <si>
    <t>Business web/application records</t>
  </si>
  <si>
    <t>Confidentiality and privacy</t>
  </si>
  <si>
    <t>Scenario-specific data asset</t>
  </si>
  <si>
    <t>A05</t>
  </si>
  <si>
    <t>Employee credentials</t>
  </si>
  <si>
    <t>Information / authentication data</t>
  </si>
  <si>
    <t>OpenWrt / staff systems</t>
  </si>
  <si>
    <t>Unauthorised access could compromise systems</t>
  </si>
  <si>
    <t>Root-password hardening; SSH keys</t>
  </si>
  <si>
    <t>A06</t>
  </si>
  <si>
    <t>Business service/content information</t>
  </si>
  <si>
    <t>Web server</t>
  </si>
  <si>
    <t>Integrity and availability of public information</t>
  </si>
  <si>
    <t>Personalised website and HTTP capture</t>
  </si>
  <si>
    <t>A07</t>
  </si>
  <si>
    <t>Business documents and client records</t>
  </si>
  <si>
    <t>Staff workstations / business storage</t>
  </si>
  <si>
    <t>Potential confidentiality and operational impact</t>
  </si>
  <si>
    <t>A08</t>
  </si>
  <si>
    <t>SSH private keys</t>
  </si>
  <si>
    <t>Information / credential</t>
  </si>
  <si>
    <t>Authorised Windows administrator device</t>
  </si>
  <si>
    <t>Compromise could enable privileged access</t>
  </si>
  <si>
    <t>Ed25519 key authentication</t>
  </si>
  <si>
    <t>A09</t>
  </si>
  <si>
    <t>OpenWrt firewall configuration</t>
  </si>
  <si>
    <t>Software / configuration</t>
  </si>
  <si>
    <t>OpenWrt /etc/config/firewall</t>
  </si>
  <si>
    <t>Controls network exposure</t>
  </si>
  <si>
    <t>HTTP/SSH/ICMP rules</t>
  </si>
  <si>
    <t>A10</t>
  </si>
  <si>
    <t>Staff and IT support personnel</t>
  </si>
  <si>
    <t>People</t>
  </si>
  <si>
    <t>Business premises</t>
  </si>
  <si>
    <t>Operate and administer systems</t>
  </si>
  <si>
    <t>8-staff scenario</t>
  </si>
  <si>
    <t>A11</t>
  </si>
  <si>
    <t>Internet connectivity</t>
  </si>
  <si>
    <t>Service</t>
  </si>
  <si>
    <t>WAN/ISP</t>
  </si>
  <si>
    <t>Required for website and business operations</t>
  </si>
  <si>
    <t>OpenWrt NAT/WAN</t>
  </si>
  <si>
    <t>A12</t>
  </si>
  <si>
    <t>Packet captures / security evidence</t>
  </si>
  <si>
    <t>Information / logs</t>
  </si>
  <si>
    <t>Project files / GitHub repository</t>
  </si>
  <si>
    <t>May reveal network addresses and traffic details</t>
  </si>
  <si>
    <t>Section 4.2.2</t>
  </si>
  <si>
    <t>TVAMatrix Practice Risk Register – Scenario-Specific Worked Draft</t>
  </si>
  <si>
    <t>ID</t>
  </si>
  <si>
    <t>Candidate threat / vulnerability</t>
  </si>
  <si>
    <t>Scenario-specific risk</t>
  </si>
  <si>
    <t>Primary asset</t>
  </si>
  <si>
    <t>Asset type</t>
  </si>
  <si>
    <t>Data asset?</t>
  </si>
  <si>
    <t>Existing control/evidence</t>
  </si>
  <si>
    <t>Likelihood (1–5)</t>
  </si>
  <si>
    <t>Impact (1–5)</t>
  </si>
  <si>
    <t>Inherent score</t>
  </si>
  <si>
    <t>Treatment / control</t>
  </si>
  <si>
    <t>Residual likelihood</t>
  </si>
  <si>
    <t>Residual impact</t>
  </si>
  <si>
    <t>Residual score</t>
  </si>
  <si>
    <t>Priority</t>
  </si>
  <si>
    <t>Evidence reference</t>
  </si>
  <si>
    <t>Student validation</t>
  </si>
  <si>
    <t>R01</t>
  </si>
  <si>
    <t>Unauthorised access / credential compromise</t>
  </si>
  <si>
    <t>Weak or compromised administrator credentials could allow privileged access to OpenWrt.</t>
  </si>
  <si>
    <t>A05 Employee credentials</t>
  </si>
  <si>
    <t>Root password changed; SSH key authentication</t>
  </si>
  <si>
    <t>4</t>
  </si>
  <si>
    <t>5</t>
  </si>
  <si>
    <t>Use unique strong credentials, Ed25519 keys and restrict management access.</t>
  </si>
  <si>
    <t>2</t>
  </si>
  <si>
    <t>High</t>
  </si>
  <si>
    <t>4.2.1; 4.1.3</t>
  </si>
  <si>
    <t>VERIFY exact TVAMatrix threat term and actual configuration</t>
  </si>
  <si>
    <t>R02</t>
  </si>
  <si>
    <t>Network interception / eavesdropping</t>
  </si>
  <si>
    <t>Unencrypted HTTP exposes webpage content and network metadata to an interceptor.</t>
  </si>
  <si>
    <t>A06 Business service/content information</t>
  </si>
  <si>
    <t>HTTP capture demonstrated plaintext content; SSH is encrypted.</t>
  </si>
  <si>
    <t>Use HTTPS/TLS for the production website and avoid sensitive data over HTTP.</t>
  </si>
  <si>
    <t>3</t>
  </si>
  <si>
    <t>Medium</t>
  </si>
  <si>
    <t>4.2.2</t>
  </si>
  <si>
    <t>VERIFY HTTPS requirement and production implementation</t>
  </si>
  <si>
    <t>R03</t>
  </si>
  <si>
    <t>Malware / endpoint compromise</t>
  </si>
  <si>
    <t>A compromised Windows workstation could expose business records or provide a route into the internal network.</t>
  </si>
  <si>
    <t>A02 Windows staff workstations</t>
  </si>
  <si>
    <t>Firewall and OpenWrt gateway; no endpoint security evidence recorded</t>
  </si>
  <si>
    <t>Endpoint protection, patching, least privilege and controlled application installation.</t>
  </si>
  <si>
    <t>Production design</t>
  </si>
  <si>
    <t>VERIFY actual endpoint controls</t>
  </si>
  <si>
    <t>R04</t>
  </si>
  <si>
    <t>Denial of service / service disruption</t>
  </si>
  <si>
    <t>Flooding or excessive requests against the public web service could reduce website availability.</t>
  </si>
  <si>
    <t>A03 Business web server/uhttpd</t>
  </si>
  <si>
    <t>Firewall configured for traffic control</t>
  </si>
  <si>
    <t>Rate limiting, monitoring, backup web hosting and restrictive firewall policy.</t>
  </si>
  <si>
    <t>4.1.3</t>
  </si>
  <si>
    <t>VERIFY available controls</t>
  </si>
  <si>
    <t>R05</t>
  </si>
  <si>
    <t>Unauthorised modification</t>
  </si>
  <si>
    <t>An attacker gaining administrative access could alter firewall or web-server configuration.</t>
  </si>
  <si>
    <t>A09 OpenWrt firewall configuration</t>
  </si>
  <si>
    <t>SSH moved to 2222; key authentication; root password changed</t>
  </si>
  <si>
    <t>Restrict administration, back up configuration, monitor changes and use least privilege.</t>
  </si>
  <si>
    <t>4.1.3; 4.2.1</t>
  </si>
  <si>
    <t>VERIFY backup/monitoring plan</t>
  </si>
  <si>
    <t>R06</t>
  </si>
  <si>
    <t>Information disclosure</t>
  </si>
  <si>
    <t>Business/client documents or contact information could be exposed from compromised endpoints or storage.</t>
  </si>
  <si>
    <t>A07 Business documents and client records</t>
  </si>
  <si>
    <t>Network firewall; SSH encryption; hardening</t>
  </si>
  <si>
    <t>Access control, encryption at rest/in transit, backups and staff awareness.</t>
  </si>
  <si>
    <t>Scenario; 4.2.1; 4.2.2</t>
  </si>
  <si>
    <t>VERIFY exact data handled by business</t>
  </si>
  <si>
    <t>R07</t>
  </si>
  <si>
    <t>Social engineering / phishing</t>
  </si>
  <si>
    <t>Staff could disclose credentials or open malicious content, leading to account or endpoint compromise.</t>
  </si>
  <si>
    <t>A10 Staff and IT support personnel</t>
  </si>
  <si>
    <t>No phishing-specific control demonstrated</t>
  </si>
  <si>
    <t>Security awareness training, phishing simulations and MFA where supported.</t>
  </si>
  <si>
    <t>Scenario</t>
  </si>
  <si>
    <t>VERIFY with group experience/assumptions</t>
  </si>
  <si>
    <t>R08</t>
  </si>
  <si>
    <t>Physical theft / loss</t>
  </si>
  <si>
    <t>Theft of a workstation or administrator device could expose business data or SSH private keys.</t>
  </si>
  <si>
    <t>A08 SSH private keys</t>
  </si>
  <si>
    <t>Private key generated with passphrase</t>
  </si>
  <si>
    <t>Device encryption, secure storage, key backup/revocation and physical access controls.</t>
  </si>
  <si>
    <t>1</t>
  </si>
  <si>
    <t>4.2.1</t>
  </si>
  <si>
    <t>VERIFY device encryption</t>
  </si>
  <si>
    <t>R09</t>
  </si>
  <si>
    <t>Unnecessary service exposure</t>
  </si>
  <si>
    <t>An unused network service could create an additional attack surface.</t>
  </si>
  <si>
    <t>A01 OpenWrt router/firewall</t>
  </si>
  <si>
    <t>Unnecessary service disabled as part of hardening</t>
  </si>
  <si>
    <t>Disable unused services and periodically review listening ports.</t>
  </si>
  <si>
    <t>Low</t>
  </si>
  <si>
    <t>VERIFY the actual service disabled</t>
  </si>
  <si>
    <t>R10</t>
  </si>
  <si>
    <t>ICMP/network reconnaissance</t>
  </si>
  <si>
    <t>Exposed ping/ICMP can assist network discovery, although it can also support diagnostics.</t>
  </si>
  <si>
    <t>ICMP block/allow rule demonstrated</t>
  </si>
  <si>
    <t>Permit ICMP only where operationally required and monitor unusual traffic.</t>
  </si>
  <si>
    <t>VERIFY rule state</t>
  </si>
  <si>
    <t>R11</t>
  </si>
  <si>
    <t>SSH service exposure</t>
  </si>
  <si>
    <t>Leaving administration exposed on a standard port can attract automated scanning and brute-force attempts.</t>
  </si>
  <si>
    <t>SSH moved from 22 to 2222; port 22 blocked; key authentication</t>
  </si>
  <si>
    <t>Restrict SSH source addresses, use keys, monitor logs and keep software patched.</t>
  </si>
  <si>
    <t>VERIFY source restriction</t>
  </si>
  <si>
    <t>R12</t>
  </si>
  <si>
    <t>Web management interface exposure</t>
  </si>
  <si>
    <t>Management web access could expose administrative functions if reachable from untrusted networks.</t>
  </si>
  <si>
    <t>Assignment requires management-interface restriction</t>
  </si>
  <si>
    <t>Permit management only from trusted management network and verify port 81 access restrictions.</t>
  </si>
  <si>
    <t>VERIFY actual management port and rule</t>
  </si>
  <si>
    <t>Section 4.3.1 Requirement Check</t>
  </si>
  <si>
    <t>Requirement</t>
  </si>
  <si>
    <t>Workbook evidence</t>
  </si>
  <si>
    <t>Student verification</t>
  </si>
  <si>
    <t>At least 8 of 12 information-security threats</t>
  </si>
  <si>
    <t>12 candidate scenario-specific risks are listed in the practice register.</t>
  </si>
  <si>
    <t>Covered in draft</t>
  </si>
  <si>
    <t>Map each to the exact 12 TVAMatrix threat names.</t>
  </si>
  <si>
    <t>Assets of each asset type</t>
  </si>
  <si>
    <t>Asset Register includes infrastructure, endpoint, software/service, information/data, people and service examples.</t>
  </si>
  <si>
    <t>Draft coverage</t>
  </si>
  <si>
    <t>Replace categories with exact TVAMatrix asset-type terminology.</t>
  </si>
  <si>
    <t>At least 4 different data assets</t>
  </si>
  <si>
    <t>Customer contact information; employee credentials; business service/content information; business documents/client records; SSH private keys; packet captures.</t>
  </si>
  <si>
    <t>Confirm which data assets actually exist in the project scenario.</t>
  </si>
  <si>
    <t>Specific to scenario</t>
  </si>
  <si>
    <t>Risks reference OpenWrt, 192.168.56.2, 97.0.0.0/24, HTTP/80, SSH/2222, ICMP and hardening.</t>
  </si>
  <si>
    <t>Match every claim to the students' screenshots/configuration.</t>
  </si>
  <si>
    <t>Use TVAMatrix process/template</t>
  </si>
  <si>
    <t>This workbook is a practice register and does not claim to reproduce the official unit template.</t>
  </si>
  <si>
    <t>Not final</t>
  </si>
  <si>
    <t>Copy/transfer into the official unit TVAMatrix template before submission.</t>
  </si>
  <si>
    <t>Security Controls – Worked Planning Draft</t>
  </si>
  <si>
    <t>Selected data asset</t>
  </si>
  <si>
    <t>Control</t>
  </si>
  <si>
    <t>Risk reduction</t>
  </si>
  <si>
    <t>Implementation in this scenario</t>
  </si>
  <si>
    <t>Existing project reference</t>
  </si>
  <si>
    <t>Disadvantage</t>
  </si>
  <si>
    <t>Employee credentials / SSH private keys</t>
  </si>
  <si>
    <t>AC-2 / account and access management principles</t>
  </si>
  <si>
    <t>Limits privileged access and reduces credential misuse.</t>
  </si>
  <si>
    <t>Restrict OpenWrt administration to authorised staff; keep SSH on 2222; use Ed25519 keys; remove unnecessary accounts/services.</t>
  </si>
  <si>
    <t>4.1.3 SSH port change; 4.2.1 key authentication</t>
  </si>
  <si>
    <t>Administration overhead and key recovery requirements.</t>
  </si>
  <si>
    <t>Confirm control terminology against lecture/NIST material.</t>
  </si>
  <si>
    <t>SC-13 / cryptographic protection principles</t>
  </si>
  <si>
    <t>Encryption reduces disclosure if traffic or stored data is intercepted.</t>
  </si>
  <si>
    <t>Use HTTPS/TLS for the production website and encrypted storage/backup for business records.</t>
  </si>
  <si>
    <t>4.2.2 HTTP capture demonstrated plaintext; SSH capture demonstrated encrypted session.</t>
  </si>
  <si>
    <t>Certificate management and encryption can add cost and operational complexity.</t>
  </si>
  <si>
    <t>Confirm actual data storage and chosen control.</t>
  </si>
  <si>
    <t>AU-2 / audit and accountability principles</t>
  </si>
  <si>
    <t>Logging can help identify suspicious access or changes.</t>
  </si>
  <si>
    <t>Enable appropriate OpenWrt/service logs and review authentication/firewall events; retain logs securely.</t>
  </si>
  <si>
    <t>OpenWrt firewall and SSH administration are already configured.</t>
  </si>
  <si>
    <t>Logging requires storage, review time and privacy management.</t>
  </si>
  <si>
    <t>Confirm available logging configuration.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</si>
</sst>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5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Register" displayName="AssetRegister" ref="A3:G15">
  <autoFilter ref="A3:G15" xr:uid="{00000000-0009-0000-0100-000001000000}"/>
  <tableColumns count="7">
    <tableColumn id="1" xr3:uid="{00000000-0010-0000-0000-000001000000}" name="Asset ID"/>
    <tableColumn id="2" xr3:uid="{00000000-0010-0000-0000-000002000000}" name="Asset"/>
    <tableColumn id="3" xr3:uid="{00000000-0010-0000-0000-000003000000}" name="Asset Type"/>
    <tableColumn id="4" xr3:uid="{00000000-0010-0000-0000-000004000000}" name="Data Asset?"/>
    <tableColumn id="5" xr3:uid="{00000000-0010-0000-0000-000005000000}" name="Location / IP"/>
    <tableColumn id="6" xr3:uid="{00000000-0010-0000-0000-000006000000}" name="Security importance"/>
    <tableColumn id="7" xr3:uid="{00000000-0010-0000-0000-000007000000}" name="Relevant project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" displayName="RiskRegister" ref="A3:Q15">
  <autoFilter ref="A3:Q15" xr:uid="{00000000-0009-0000-0100-000002000000}"/>
  <tableColumns count="17">
    <tableColumn id="1" xr3:uid="{00000000-0010-0000-0100-000001000000}" name="ID"/>
    <tableColumn id="2" xr3:uid="{00000000-0010-0000-0100-000002000000}" name="Candidate threat / vulnerability"/>
    <tableColumn id="3" xr3:uid="{00000000-0010-0000-0100-000003000000}" name="Scenario-specific risk"/>
    <tableColumn id="4" xr3:uid="{00000000-0010-0000-0100-000004000000}" name="Primary asset"/>
    <tableColumn id="5" xr3:uid="{00000000-0010-0000-0100-000005000000}" name="Asset type"/>
    <tableColumn id="6" xr3:uid="{00000000-0010-0000-0100-000006000000}" name="Data asset?"/>
    <tableColumn id="7" xr3:uid="{00000000-0010-0000-0100-000007000000}" name="Existing control/evidence"/>
    <tableColumn id="8" xr3:uid="{00000000-0010-0000-0100-000008000000}" name="Likelihood (1–5)"/>
    <tableColumn id="9" xr3:uid="{00000000-0010-0000-0100-000009000000}" name="Impact (1–5)"/>
    <tableColumn id="10" xr3:uid="{00000000-0010-0000-0100-00000A000000}" name="Inherent score"/>
    <tableColumn id="11" xr3:uid="{00000000-0010-0000-0100-00000B000000}" name="Treatment / control"/>
    <tableColumn id="12" xr3:uid="{00000000-0010-0000-0100-00000C000000}" name="Residual likelihood"/>
    <tableColumn id="13" xr3:uid="{00000000-0010-0000-0100-00000D000000}" name="Residual impact"/>
    <tableColumn id="14" xr3:uid="{00000000-0010-0000-0100-00000E000000}" name="Residual score"/>
    <tableColumn id="15" xr3:uid="{00000000-0010-0000-0100-00000F000000}" name="Priority"/>
    <tableColumn id="16" xr3:uid="{00000000-0010-0000-0100-000010000000}" name="Evidence reference"/>
    <tableColumn id="17" xr3:uid="{00000000-0010-0000-0100-000011000000}" name="Student 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selection sqref="A1:F1"/>
    </sheetView>
  </sheetViews>
  <sheetFormatPr defaultRowHeight="15" x14ac:dyDescent="0.25"/>
  <cols>
    <col min="1" max="1" width="25" customWidth="1"/>
    <col min="2" max="2" width="30" customWidth="1"/>
    <col min="3" max="6" width="25" customWidth="1"/>
  </cols>
  <sheetData>
    <row r="1" spans="1:6" ht="21" x14ac:dyDescent="0.35">
      <c r="A1" s="8" t="s">
        <v>0</v>
      </c>
      <c r="B1" s="9"/>
      <c r="C1" s="9"/>
      <c r="D1" s="9"/>
      <c r="E1" s="9"/>
      <c r="F1" s="9"/>
    </row>
    <row r="3" spans="1:6" x14ac:dyDescent="0.25">
      <c r="A3" s="1" t="s">
        <v>1</v>
      </c>
      <c r="B3" s="5" t="s">
        <v>2</v>
      </c>
      <c r="C3" s="6"/>
      <c r="D3" s="6"/>
      <c r="E3" s="6"/>
      <c r="F3" s="7"/>
    </row>
    <row r="4" spans="1:6" x14ac:dyDescent="0.25">
      <c r="A4" s="1" t="s">
        <v>3</v>
      </c>
      <c r="B4" s="5" t="s">
        <v>4</v>
      </c>
      <c r="C4" s="6"/>
      <c r="D4" s="6"/>
      <c r="E4" s="6"/>
      <c r="F4" s="7"/>
    </row>
    <row r="5" spans="1:6" x14ac:dyDescent="0.25">
      <c r="A5" s="1" t="s">
        <v>5</v>
      </c>
      <c r="B5" s="5" t="s">
        <v>6</v>
      </c>
      <c r="C5" s="6"/>
      <c r="D5" s="6"/>
      <c r="E5" s="6"/>
      <c r="F5" s="7"/>
    </row>
    <row r="6" spans="1:6" x14ac:dyDescent="0.25">
      <c r="A6" s="1" t="s">
        <v>7</v>
      </c>
      <c r="B6" s="5" t="s">
        <v>8</v>
      </c>
      <c r="C6" s="6"/>
      <c r="D6" s="6"/>
      <c r="E6" s="6"/>
      <c r="F6" s="7"/>
    </row>
    <row r="7" spans="1:6" x14ac:dyDescent="0.25">
      <c r="A7" s="1" t="s">
        <v>9</v>
      </c>
      <c r="B7" s="5" t="s">
        <v>10</v>
      </c>
      <c r="C7" s="6"/>
      <c r="D7" s="6"/>
      <c r="E7" s="6"/>
      <c r="F7" s="7"/>
    </row>
    <row r="8" spans="1:6" x14ac:dyDescent="0.25">
      <c r="A8" s="1" t="s">
        <v>11</v>
      </c>
      <c r="B8" s="5" t="s">
        <v>12</v>
      </c>
      <c r="C8" s="6"/>
      <c r="D8" s="6"/>
      <c r="E8" s="6"/>
      <c r="F8" s="7"/>
    </row>
    <row r="9" spans="1:6" x14ac:dyDescent="0.25">
      <c r="A9" s="1" t="s">
        <v>13</v>
      </c>
      <c r="B9" s="5" t="s">
        <v>14</v>
      </c>
      <c r="C9" s="6"/>
      <c r="D9" s="6"/>
      <c r="E9" s="6"/>
      <c r="F9" s="7"/>
    </row>
  </sheetData>
  <mergeCells count="8">
    <mergeCell ref="B8:F8"/>
    <mergeCell ref="B9:F9"/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0" customWidth="1"/>
    <col min="2" max="3" width="30" customWidth="1"/>
    <col min="4" max="4" width="15" customWidth="1"/>
    <col min="5" max="5" width="35" customWidth="1"/>
    <col min="6" max="6" width="38" customWidth="1"/>
    <col min="7" max="7" width="32" customWidth="1"/>
  </cols>
  <sheetData>
    <row r="1" spans="1:7" ht="19.5" x14ac:dyDescent="0.3">
      <c r="A1" s="10" t="s">
        <v>15</v>
      </c>
      <c r="B1" s="9"/>
      <c r="C1" s="9"/>
      <c r="D1" s="9"/>
      <c r="E1" s="9"/>
      <c r="F1" s="9"/>
      <c r="G1" s="9"/>
    </row>
    <row r="3" spans="1:7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</row>
    <row r="4" spans="1:7" ht="30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</row>
    <row r="5" spans="1:7" x14ac:dyDescent="0.25">
      <c r="A5" s="2" t="s">
        <v>30</v>
      </c>
      <c r="B5" s="2" t="s">
        <v>31</v>
      </c>
      <c r="C5" s="2" t="s">
        <v>32</v>
      </c>
      <c r="D5" s="2" t="s">
        <v>26</v>
      </c>
      <c r="E5" s="2" t="s">
        <v>33</v>
      </c>
      <c r="F5" s="2" t="s">
        <v>34</v>
      </c>
      <c r="G5" s="2" t="s">
        <v>35</v>
      </c>
    </row>
    <row r="6" spans="1:7" ht="30" x14ac:dyDescent="0.25">
      <c r="A6" s="2" t="s">
        <v>36</v>
      </c>
      <c r="B6" s="2" t="s">
        <v>37</v>
      </c>
      <c r="C6" s="2" t="s">
        <v>38</v>
      </c>
      <c r="D6" s="2" t="s">
        <v>26</v>
      </c>
      <c r="E6" s="2" t="s">
        <v>39</v>
      </c>
      <c r="F6" s="2" t="s">
        <v>40</v>
      </c>
      <c r="G6" s="2" t="s">
        <v>41</v>
      </c>
    </row>
    <row r="7" spans="1:7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30" x14ac:dyDescent="0.25">
      <c r="A8" s="2" t="s">
        <v>49</v>
      </c>
      <c r="B8" s="2" t="s">
        <v>50</v>
      </c>
      <c r="C8" s="2" t="s">
        <v>51</v>
      </c>
      <c r="D8" s="2" t="s">
        <v>45</v>
      </c>
      <c r="E8" s="2" t="s">
        <v>52</v>
      </c>
      <c r="F8" s="2" t="s">
        <v>53</v>
      </c>
      <c r="G8" s="2" t="s">
        <v>54</v>
      </c>
    </row>
    <row r="9" spans="1:7" ht="30" x14ac:dyDescent="0.25">
      <c r="A9" s="2" t="s">
        <v>55</v>
      </c>
      <c r="B9" s="2" t="s">
        <v>56</v>
      </c>
      <c r="C9" s="2" t="s">
        <v>44</v>
      </c>
      <c r="D9" s="2" t="s">
        <v>45</v>
      </c>
      <c r="E9" s="2" t="s">
        <v>57</v>
      </c>
      <c r="F9" s="2" t="s">
        <v>58</v>
      </c>
      <c r="G9" s="2" t="s">
        <v>59</v>
      </c>
    </row>
    <row r="10" spans="1:7" ht="30" x14ac:dyDescent="0.25">
      <c r="A10" s="2" t="s">
        <v>60</v>
      </c>
      <c r="B10" s="2" t="s">
        <v>61</v>
      </c>
      <c r="C10" s="2" t="s">
        <v>44</v>
      </c>
      <c r="D10" s="2" t="s">
        <v>45</v>
      </c>
      <c r="E10" s="2" t="s">
        <v>62</v>
      </c>
      <c r="F10" s="2" t="s">
        <v>63</v>
      </c>
      <c r="G10" s="2" t="s">
        <v>48</v>
      </c>
    </row>
    <row r="11" spans="1:7" ht="30" x14ac:dyDescent="0.25">
      <c r="A11" s="2" t="s">
        <v>64</v>
      </c>
      <c r="B11" s="2" t="s">
        <v>65</v>
      </c>
      <c r="C11" s="2" t="s">
        <v>66</v>
      </c>
      <c r="D11" s="2" t="s">
        <v>45</v>
      </c>
      <c r="E11" s="2" t="s">
        <v>67</v>
      </c>
      <c r="F11" s="2" t="s">
        <v>68</v>
      </c>
      <c r="G11" s="2" t="s">
        <v>69</v>
      </c>
    </row>
    <row r="12" spans="1:7" x14ac:dyDescent="0.25">
      <c r="A12" s="2" t="s">
        <v>70</v>
      </c>
      <c r="B12" s="2" t="s">
        <v>71</v>
      </c>
      <c r="C12" s="2" t="s">
        <v>72</v>
      </c>
      <c r="D12" s="2" t="s">
        <v>26</v>
      </c>
      <c r="E12" s="2" t="s">
        <v>73</v>
      </c>
      <c r="F12" s="2" t="s">
        <v>74</v>
      </c>
      <c r="G12" s="2" t="s">
        <v>75</v>
      </c>
    </row>
    <row r="13" spans="1:7" x14ac:dyDescent="0.25">
      <c r="A13" s="2" t="s">
        <v>76</v>
      </c>
      <c r="B13" s="2" t="s">
        <v>77</v>
      </c>
      <c r="C13" s="2" t="s">
        <v>78</v>
      </c>
      <c r="D13" s="2" t="s">
        <v>26</v>
      </c>
      <c r="E13" s="2" t="s">
        <v>79</v>
      </c>
      <c r="F13" s="2" t="s">
        <v>80</v>
      </c>
      <c r="G13" s="2" t="s">
        <v>81</v>
      </c>
    </row>
    <row r="14" spans="1:7" ht="30" x14ac:dyDescent="0.25">
      <c r="A14" s="2" t="s">
        <v>82</v>
      </c>
      <c r="B14" s="2" t="s">
        <v>83</v>
      </c>
      <c r="C14" s="2" t="s">
        <v>84</v>
      </c>
      <c r="D14" s="2" t="s">
        <v>26</v>
      </c>
      <c r="E14" s="2" t="s">
        <v>85</v>
      </c>
      <c r="F14" s="2" t="s">
        <v>86</v>
      </c>
      <c r="G14" s="2" t="s">
        <v>87</v>
      </c>
    </row>
    <row r="15" spans="1:7" ht="30" x14ac:dyDescent="0.25">
      <c r="A15" s="2" t="s">
        <v>88</v>
      </c>
      <c r="B15" s="2" t="s">
        <v>89</v>
      </c>
      <c r="C15" s="2" t="s">
        <v>90</v>
      </c>
      <c r="D15" s="2" t="s">
        <v>45</v>
      </c>
      <c r="E15" s="2" t="s">
        <v>91</v>
      </c>
      <c r="F15" s="2" t="s">
        <v>92</v>
      </c>
      <c r="G15" s="2" t="s">
        <v>93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showGridLines="0" tabSelected="1" zoomScale="85" zoomScaleNormal="85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8" customWidth="1"/>
    <col min="2" max="2" width="30" customWidth="1"/>
    <col min="3" max="3" width="45" customWidth="1"/>
    <col min="4" max="5" width="30" customWidth="1"/>
    <col min="6" max="6" width="12" customWidth="1"/>
    <col min="7" max="7" width="42" customWidth="1"/>
    <col min="8" max="8" width="17" customWidth="1"/>
    <col min="9" max="9" width="15" customWidth="1"/>
    <col min="10" max="10" width="14" customWidth="1"/>
    <col min="11" max="11" width="42" customWidth="1"/>
    <col min="12" max="12" width="17" customWidth="1"/>
    <col min="13" max="13" width="16" customWidth="1"/>
    <col min="14" max="14" width="15" customWidth="1"/>
    <col min="15" max="15" width="14" customWidth="1"/>
    <col min="16" max="16" width="30" customWidth="1"/>
    <col min="17" max="17" width="38" customWidth="1"/>
  </cols>
  <sheetData>
    <row r="1" spans="1:17" ht="19.5" x14ac:dyDescent="0.3">
      <c r="A1" s="10" t="s">
        <v>94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ht="30" x14ac:dyDescent="0.25">
      <c r="A3" s="3" t="s">
        <v>95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  <c r="K3" s="3" t="s">
        <v>105</v>
      </c>
      <c r="L3" s="3" t="s">
        <v>106</v>
      </c>
      <c r="M3" s="3" t="s">
        <v>107</v>
      </c>
      <c r="N3" s="3" t="s">
        <v>108</v>
      </c>
      <c r="O3" s="3" t="s">
        <v>109</v>
      </c>
      <c r="P3" s="3" t="s">
        <v>110</v>
      </c>
      <c r="Q3" s="3" t="s">
        <v>111</v>
      </c>
    </row>
    <row r="4" spans="1:17" ht="30" x14ac:dyDescent="0.25">
      <c r="A4" s="2" t="s">
        <v>112</v>
      </c>
      <c r="B4" s="2" t="s">
        <v>113</v>
      </c>
      <c r="C4" s="2" t="s">
        <v>114</v>
      </c>
      <c r="D4" s="2" t="s">
        <v>115</v>
      </c>
      <c r="E4" s="2" t="s">
        <v>66</v>
      </c>
      <c r="F4" s="2" t="s">
        <v>45</v>
      </c>
      <c r="G4" s="2" t="s">
        <v>116</v>
      </c>
      <c r="H4" s="4" t="s">
        <v>117</v>
      </c>
      <c r="I4" s="4" t="s">
        <v>118</v>
      </c>
      <c r="J4" s="4">
        <f t="shared" ref="J4:J15" si="0">IF(OR(H4="",I4=""),"",H4*I4)</f>
        <v>20</v>
      </c>
      <c r="K4" s="2" t="s">
        <v>119</v>
      </c>
      <c r="L4" s="4" t="s">
        <v>120</v>
      </c>
      <c r="M4" s="4" t="s">
        <v>118</v>
      </c>
      <c r="N4" s="4">
        <f t="shared" ref="N4:N15" si="1">IF(OR(L4="",M4=""),"",L4*M4)</f>
        <v>10</v>
      </c>
      <c r="O4" s="2" t="s">
        <v>121</v>
      </c>
      <c r="P4" s="2" t="s">
        <v>122</v>
      </c>
      <c r="Q4" s="2" t="s">
        <v>123</v>
      </c>
    </row>
    <row r="5" spans="1:17" ht="30" x14ac:dyDescent="0.25">
      <c r="A5" s="2" t="s">
        <v>124</v>
      </c>
      <c r="B5" s="2" t="s">
        <v>125</v>
      </c>
      <c r="C5" s="2" t="s">
        <v>126</v>
      </c>
      <c r="D5" s="2" t="s">
        <v>127</v>
      </c>
      <c r="E5" s="2" t="s">
        <v>44</v>
      </c>
      <c r="F5" s="2" t="s">
        <v>45</v>
      </c>
      <c r="G5" s="2" t="s">
        <v>128</v>
      </c>
      <c r="H5" s="4" t="s">
        <v>117</v>
      </c>
      <c r="I5" s="4" t="s">
        <v>117</v>
      </c>
      <c r="J5" s="4">
        <f t="shared" si="0"/>
        <v>16</v>
      </c>
      <c r="K5" s="2" t="s">
        <v>129</v>
      </c>
      <c r="L5" s="4" t="s">
        <v>120</v>
      </c>
      <c r="M5" s="4" t="s">
        <v>130</v>
      </c>
      <c r="N5" s="4">
        <f t="shared" si="1"/>
        <v>6</v>
      </c>
      <c r="O5" s="2" t="s">
        <v>131</v>
      </c>
      <c r="P5" s="2" t="s">
        <v>132</v>
      </c>
      <c r="Q5" s="2" t="s">
        <v>133</v>
      </c>
    </row>
    <row r="6" spans="1:17" ht="45" x14ac:dyDescent="0.25">
      <c r="A6" s="2" t="s">
        <v>134</v>
      </c>
      <c r="B6" s="2" t="s">
        <v>135</v>
      </c>
      <c r="C6" s="2" t="s">
        <v>136</v>
      </c>
      <c r="D6" s="2" t="s">
        <v>137</v>
      </c>
      <c r="E6" s="2" t="s">
        <v>32</v>
      </c>
      <c r="F6" s="2" t="s">
        <v>26</v>
      </c>
      <c r="G6" s="2" t="s">
        <v>138</v>
      </c>
      <c r="H6" s="4" t="s">
        <v>130</v>
      </c>
      <c r="I6" s="4" t="s">
        <v>118</v>
      </c>
      <c r="J6" s="4">
        <f t="shared" si="0"/>
        <v>15</v>
      </c>
      <c r="K6" s="2" t="s">
        <v>139</v>
      </c>
      <c r="L6" s="4" t="s">
        <v>120</v>
      </c>
      <c r="M6" s="4" t="s">
        <v>117</v>
      </c>
      <c r="N6" s="4">
        <f t="shared" si="1"/>
        <v>8</v>
      </c>
      <c r="O6" s="2" t="s">
        <v>131</v>
      </c>
      <c r="P6" s="2" t="s">
        <v>140</v>
      </c>
      <c r="Q6" s="2" t="s">
        <v>141</v>
      </c>
    </row>
    <row r="7" spans="1:17" ht="45" x14ac:dyDescent="0.25">
      <c r="A7" s="2" t="s">
        <v>142</v>
      </c>
      <c r="B7" s="2" t="s">
        <v>143</v>
      </c>
      <c r="C7" s="2" t="s">
        <v>144</v>
      </c>
      <c r="D7" s="2" t="s">
        <v>145</v>
      </c>
      <c r="E7" s="2" t="s">
        <v>38</v>
      </c>
      <c r="F7" s="2" t="s">
        <v>26</v>
      </c>
      <c r="G7" s="2" t="s">
        <v>146</v>
      </c>
      <c r="H7" s="4" t="s">
        <v>130</v>
      </c>
      <c r="I7" s="4" t="s">
        <v>117</v>
      </c>
      <c r="J7" s="4">
        <f t="shared" si="0"/>
        <v>12</v>
      </c>
      <c r="K7" s="2" t="s">
        <v>147</v>
      </c>
      <c r="L7" s="4" t="s">
        <v>120</v>
      </c>
      <c r="M7" s="4" t="s">
        <v>130</v>
      </c>
      <c r="N7" s="4">
        <f t="shared" si="1"/>
        <v>6</v>
      </c>
      <c r="O7" s="2" t="s">
        <v>131</v>
      </c>
      <c r="P7" s="2" t="s">
        <v>148</v>
      </c>
      <c r="Q7" s="2" t="s">
        <v>149</v>
      </c>
    </row>
    <row r="8" spans="1:17" ht="45" x14ac:dyDescent="0.25">
      <c r="A8" s="2" t="s">
        <v>150</v>
      </c>
      <c r="B8" s="2" t="s">
        <v>151</v>
      </c>
      <c r="C8" s="2" t="s">
        <v>152</v>
      </c>
      <c r="D8" s="2" t="s">
        <v>153</v>
      </c>
      <c r="E8" s="2" t="s">
        <v>72</v>
      </c>
      <c r="F8" s="2" t="s">
        <v>26</v>
      </c>
      <c r="G8" s="2" t="s">
        <v>154</v>
      </c>
      <c r="H8" s="4" t="s">
        <v>130</v>
      </c>
      <c r="I8" s="4" t="s">
        <v>118</v>
      </c>
      <c r="J8" s="4">
        <f t="shared" si="0"/>
        <v>15</v>
      </c>
      <c r="K8" s="2" t="s">
        <v>155</v>
      </c>
      <c r="L8" s="4" t="s">
        <v>120</v>
      </c>
      <c r="M8" s="4" t="s">
        <v>117</v>
      </c>
      <c r="N8" s="4">
        <f t="shared" si="1"/>
        <v>8</v>
      </c>
      <c r="O8" s="2" t="s">
        <v>131</v>
      </c>
      <c r="P8" s="2" t="s">
        <v>156</v>
      </c>
      <c r="Q8" s="2" t="s">
        <v>157</v>
      </c>
    </row>
    <row r="9" spans="1:17" ht="45" x14ac:dyDescent="0.25">
      <c r="A9" s="2" t="s">
        <v>158</v>
      </c>
      <c r="B9" s="2" t="s">
        <v>159</v>
      </c>
      <c r="C9" s="2" t="s">
        <v>160</v>
      </c>
      <c r="D9" s="2" t="s">
        <v>161</v>
      </c>
      <c r="E9" s="2" t="s">
        <v>44</v>
      </c>
      <c r="F9" s="2" t="s">
        <v>45</v>
      </c>
      <c r="G9" s="2" t="s">
        <v>162</v>
      </c>
      <c r="H9" s="4" t="s">
        <v>130</v>
      </c>
      <c r="I9" s="4" t="s">
        <v>118</v>
      </c>
      <c r="J9" s="4">
        <f t="shared" si="0"/>
        <v>15</v>
      </c>
      <c r="K9" s="2" t="s">
        <v>163</v>
      </c>
      <c r="L9" s="4" t="s">
        <v>120</v>
      </c>
      <c r="M9" s="4" t="s">
        <v>117</v>
      </c>
      <c r="N9" s="4">
        <f t="shared" si="1"/>
        <v>8</v>
      </c>
      <c r="O9" s="2" t="s">
        <v>131</v>
      </c>
      <c r="P9" s="2" t="s">
        <v>164</v>
      </c>
      <c r="Q9" s="2" t="s">
        <v>165</v>
      </c>
    </row>
    <row r="10" spans="1:17" ht="45" x14ac:dyDescent="0.25">
      <c r="A10" s="2" t="s">
        <v>166</v>
      </c>
      <c r="B10" s="2" t="s">
        <v>167</v>
      </c>
      <c r="C10" s="2" t="s">
        <v>168</v>
      </c>
      <c r="D10" s="2" t="s">
        <v>169</v>
      </c>
      <c r="E10" s="2" t="s">
        <v>78</v>
      </c>
      <c r="F10" s="2" t="s">
        <v>26</v>
      </c>
      <c r="G10" s="2" t="s">
        <v>170</v>
      </c>
      <c r="H10" s="4" t="s">
        <v>130</v>
      </c>
      <c r="I10" s="4" t="s">
        <v>117</v>
      </c>
      <c r="J10" s="4">
        <f t="shared" si="0"/>
        <v>12</v>
      </c>
      <c r="K10" s="2" t="s">
        <v>171</v>
      </c>
      <c r="L10" s="4" t="s">
        <v>120</v>
      </c>
      <c r="M10" s="4" t="s">
        <v>130</v>
      </c>
      <c r="N10" s="4">
        <f t="shared" si="1"/>
        <v>6</v>
      </c>
      <c r="O10" s="2" t="s">
        <v>131</v>
      </c>
      <c r="P10" s="2" t="s">
        <v>172</v>
      </c>
      <c r="Q10" s="2" t="s">
        <v>173</v>
      </c>
    </row>
    <row r="11" spans="1:17" ht="45" x14ac:dyDescent="0.25">
      <c r="A11" s="2" t="s">
        <v>174</v>
      </c>
      <c r="B11" s="2" t="s">
        <v>175</v>
      </c>
      <c r="C11" s="2" t="s">
        <v>176</v>
      </c>
      <c r="D11" s="2" t="s">
        <v>177</v>
      </c>
      <c r="E11" s="2" t="s">
        <v>66</v>
      </c>
      <c r="F11" s="2" t="s">
        <v>45</v>
      </c>
      <c r="G11" s="2" t="s">
        <v>178</v>
      </c>
      <c r="H11" s="4" t="s">
        <v>120</v>
      </c>
      <c r="I11" s="4" t="s">
        <v>118</v>
      </c>
      <c r="J11" s="4">
        <f t="shared" si="0"/>
        <v>10</v>
      </c>
      <c r="K11" s="2" t="s">
        <v>179</v>
      </c>
      <c r="L11" s="4" t="s">
        <v>180</v>
      </c>
      <c r="M11" s="4" t="s">
        <v>118</v>
      </c>
      <c r="N11" s="4">
        <f t="shared" si="1"/>
        <v>5</v>
      </c>
      <c r="O11" s="2" t="s">
        <v>131</v>
      </c>
      <c r="P11" s="2" t="s">
        <v>181</v>
      </c>
      <c r="Q11" s="2" t="s">
        <v>182</v>
      </c>
    </row>
    <row r="12" spans="1:17" ht="30" x14ac:dyDescent="0.25">
      <c r="A12" s="2" t="s">
        <v>183</v>
      </c>
      <c r="B12" s="2" t="s">
        <v>184</v>
      </c>
      <c r="C12" s="2" t="s">
        <v>185</v>
      </c>
      <c r="D12" s="2" t="s">
        <v>186</v>
      </c>
      <c r="E12" s="2" t="s">
        <v>25</v>
      </c>
      <c r="F12" s="2" t="s">
        <v>26</v>
      </c>
      <c r="G12" s="2" t="s">
        <v>187</v>
      </c>
      <c r="H12" s="4" t="s">
        <v>130</v>
      </c>
      <c r="I12" s="4" t="s">
        <v>117</v>
      </c>
      <c r="J12" s="4">
        <f t="shared" si="0"/>
        <v>12</v>
      </c>
      <c r="K12" s="2" t="s">
        <v>188</v>
      </c>
      <c r="L12" s="4" t="s">
        <v>180</v>
      </c>
      <c r="M12" s="4" t="s">
        <v>130</v>
      </c>
      <c r="N12" s="4">
        <f t="shared" si="1"/>
        <v>3</v>
      </c>
      <c r="O12" s="2" t="s">
        <v>189</v>
      </c>
      <c r="P12" s="2" t="s">
        <v>181</v>
      </c>
      <c r="Q12" s="2" t="s">
        <v>190</v>
      </c>
    </row>
    <row r="13" spans="1:17" ht="45" x14ac:dyDescent="0.25">
      <c r="A13" s="2" t="s">
        <v>191</v>
      </c>
      <c r="B13" s="2" t="s">
        <v>192</v>
      </c>
      <c r="C13" s="2" t="s">
        <v>193</v>
      </c>
      <c r="D13" s="2" t="s">
        <v>186</v>
      </c>
      <c r="E13" s="2" t="s">
        <v>25</v>
      </c>
      <c r="F13" s="2" t="s">
        <v>26</v>
      </c>
      <c r="G13" s="2" t="s">
        <v>194</v>
      </c>
      <c r="H13" s="4" t="s">
        <v>130</v>
      </c>
      <c r="I13" s="4" t="s">
        <v>120</v>
      </c>
      <c r="J13" s="4">
        <f t="shared" si="0"/>
        <v>6</v>
      </c>
      <c r="K13" s="2" t="s">
        <v>195</v>
      </c>
      <c r="L13" s="4" t="s">
        <v>120</v>
      </c>
      <c r="M13" s="4" t="s">
        <v>120</v>
      </c>
      <c r="N13" s="4">
        <f t="shared" si="1"/>
        <v>4</v>
      </c>
      <c r="O13" s="2" t="s">
        <v>189</v>
      </c>
      <c r="P13" s="2" t="s">
        <v>148</v>
      </c>
      <c r="Q13" s="2" t="s">
        <v>196</v>
      </c>
    </row>
    <row r="14" spans="1:17" ht="45" x14ac:dyDescent="0.25">
      <c r="A14" s="2" t="s">
        <v>197</v>
      </c>
      <c r="B14" s="2" t="s">
        <v>198</v>
      </c>
      <c r="C14" s="2" t="s">
        <v>199</v>
      </c>
      <c r="D14" s="2" t="s">
        <v>186</v>
      </c>
      <c r="E14" s="2" t="s">
        <v>25</v>
      </c>
      <c r="F14" s="2" t="s">
        <v>26</v>
      </c>
      <c r="G14" s="2" t="s">
        <v>200</v>
      </c>
      <c r="H14" s="4" t="s">
        <v>130</v>
      </c>
      <c r="I14" s="4" t="s">
        <v>117</v>
      </c>
      <c r="J14" s="4">
        <f t="shared" si="0"/>
        <v>12</v>
      </c>
      <c r="K14" s="2" t="s">
        <v>201</v>
      </c>
      <c r="L14" s="4" t="s">
        <v>180</v>
      </c>
      <c r="M14" s="4" t="s">
        <v>117</v>
      </c>
      <c r="N14" s="4">
        <f t="shared" si="1"/>
        <v>4</v>
      </c>
      <c r="O14" s="2" t="s">
        <v>189</v>
      </c>
      <c r="P14" s="2" t="s">
        <v>156</v>
      </c>
      <c r="Q14" s="2" t="s">
        <v>202</v>
      </c>
    </row>
    <row r="15" spans="1:17" ht="45" x14ac:dyDescent="0.25">
      <c r="A15" s="2" t="s">
        <v>203</v>
      </c>
      <c r="B15" s="2" t="s">
        <v>204</v>
      </c>
      <c r="C15" s="2" t="s">
        <v>205</v>
      </c>
      <c r="D15" s="2" t="s">
        <v>186</v>
      </c>
      <c r="E15" s="2" t="s">
        <v>25</v>
      </c>
      <c r="F15" s="2" t="s">
        <v>26</v>
      </c>
      <c r="G15" s="2" t="s">
        <v>206</v>
      </c>
      <c r="H15" s="4" t="s">
        <v>130</v>
      </c>
      <c r="I15" s="4" t="s">
        <v>118</v>
      </c>
      <c r="J15" s="4">
        <f t="shared" si="0"/>
        <v>15</v>
      </c>
      <c r="K15" s="2" t="s">
        <v>207</v>
      </c>
      <c r="L15" s="4" t="s">
        <v>180</v>
      </c>
      <c r="M15" s="4" t="s">
        <v>118</v>
      </c>
      <c r="N15" s="4">
        <f t="shared" si="1"/>
        <v>5</v>
      </c>
      <c r="O15" s="2" t="s">
        <v>131</v>
      </c>
      <c r="P15" s="2" t="s">
        <v>148</v>
      </c>
      <c r="Q15" s="2" t="s">
        <v>208</v>
      </c>
    </row>
  </sheetData>
  <mergeCells count="1">
    <mergeCell ref="A1:Q1"/>
  </mergeCells>
  <conditionalFormatting sqref="J4:J15">
    <cfRule type="colorScale" priority="1">
      <colorScale>
        <cfvo type="min"/>
        <cfvo type="percentile" val="50"/>
        <cfvo type="max"/>
        <color rgb="FF63BE7B"/>
        <color rgb="FFFFEB84"/>
        <color rgb="FFF8696A"/>
      </colorScale>
    </cfRule>
  </conditionalFormatting>
  <conditionalFormatting sqref="N4:N15">
    <cfRule type="colorScale" priority="2">
      <colorScale>
        <cfvo type="min"/>
        <cfvo type="percentile" val="50"/>
        <cfvo type="max"/>
        <color rgb="FF63BE7B"/>
        <color rgb="FFFFEB84"/>
        <color rgb="FFF8696A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/>
  </sheetViews>
  <sheetFormatPr defaultRowHeight="15" x14ac:dyDescent="0.25"/>
  <cols>
    <col min="1" max="1" width="34" customWidth="1"/>
    <col min="2" max="2" width="55" customWidth="1"/>
    <col min="3" max="3" width="20" customWidth="1"/>
    <col min="4" max="4" width="55" customWidth="1"/>
  </cols>
  <sheetData>
    <row r="1" spans="1:4" ht="19.5" x14ac:dyDescent="0.3">
      <c r="A1" s="10" t="s">
        <v>209</v>
      </c>
      <c r="B1" s="9"/>
      <c r="C1" s="9"/>
      <c r="D1" s="9"/>
    </row>
    <row r="3" spans="1:4" x14ac:dyDescent="0.25">
      <c r="A3" s="3" t="s">
        <v>210</v>
      </c>
      <c r="B3" s="3" t="s">
        <v>211</v>
      </c>
      <c r="C3" s="3" t="s">
        <v>1</v>
      </c>
      <c r="D3" s="3" t="s">
        <v>212</v>
      </c>
    </row>
    <row r="4" spans="1:4" ht="30" x14ac:dyDescent="0.25">
      <c r="A4" s="2" t="s">
        <v>213</v>
      </c>
      <c r="B4" s="2" t="s">
        <v>214</v>
      </c>
      <c r="C4" s="2" t="s">
        <v>215</v>
      </c>
      <c r="D4" s="2" t="s">
        <v>216</v>
      </c>
    </row>
    <row r="5" spans="1:4" ht="45" x14ac:dyDescent="0.25">
      <c r="A5" s="2" t="s">
        <v>217</v>
      </c>
      <c r="B5" s="2" t="s">
        <v>218</v>
      </c>
      <c r="C5" s="2" t="s">
        <v>219</v>
      </c>
      <c r="D5" s="2" t="s">
        <v>220</v>
      </c>
    </row>
    <row r="6" spans="1:4" ht="60" x14ac:dyDescent="0.25">
      <c r="A6" s="2" t="s">
        <v>221</v>
      </c>
      <c r="B6" s="2" t="s">
        <v>222</v>
      </c>
      <c r="C6" s="2" t="s">
        <v>215</v>
      </c>
      <c r="D6" s="2" t="s">
        <v>223</v>
      </c>
    </row>
    <row r="7" spans="1:4" ht="30" x14ac:dyDescent="0.25">
      <c r="A7" s="2" t="s">
        <v>224</v>
      </c>
      <c r="B7" s="2" t="s">
        <v>225</v>
      </c>
      <c r="C7" s="2" t="s">
        <v>215</v>
      </c>
      <c r="D7" s="2" t="s">
        <v>226</v>
      </c>
    </row>
    <row r="8" spans="1:4" ht="30" x14ac:dyDescent="0.25">
      <c r="A8" s="2" t="s">
        <v>227</v>
      </c>
      <c r="B8" s="2" t="s">
        <v>228</v>
      </c>
      <c r="C8" s="2" t="s">
        <v>229</v>
      </c>
      <c r="D8" s="2" t="s">
        <v>230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showGridLines="0" workbookViewId="0"/>
  </sheetViews>
  <sheetFormatPr defaultRowHeight="15" x14ac:dyDescent="0.25"/>
  <cols>
    <col min="1" max="1" width="30" customWidth="1"/>
    <col min="2" max="2" width="32" customWidth="1"/>
    <col min="3" max="3" width="42" customWidth="1"/>
    <col min="4" max="4" width="55" customWidth="1"/>
    <col min="5" max="5" width="40" customWidth="1"/>
    <col min="6" max="6" width="35" customWidth="1"/>
    <col min="7" max="7" width="45" customWidth="1"/>
  </cols>
  <sheetData>
    <row r="1" spans="1:7" ht="19.5" x14ac:dyDescent="0.3">
      <c r="A1" s="10" t="s">
        <v>231</v>
      </c>
      <c r="B1" s="9"/>
      <c r="C1" s="9"/>
      <c r="D1" s="9"/>
      <c r="E1" s="9"/>
      <c r="F1" s="9"/>
      <c r="G1" s="9"/>
    </row>
    <row r="3" spans="1:7" x14ac:dyDescent="0.25">
      <c r="A3" s="3" t="s">
        <v>232</v>
      </c>
      <c r="B3" s="3" t="s">
        <v>233</v>
      </c>
      <c r="C3" s="3" t="s">
        <v>234</v>
      </c>
      <c r="D3" s="3" t="s">
        <v>235</v>
      </c>
      <c r="E3" s="3" t="s">
        <v>236</v>
      </c>
      <c r="F3" s="3" t="s">
        <v>237</v>
      </c>
      <c r="G3" s="3" t="s">
        <v>212</v>
      </c>
    </row>
    <row r="4" spans="1:7" ht="45" x14ac:dyDescent="0.2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  <c r="F4" s="2" t="s">
        <v>243</v>
      </c>
      <c r="G4" s="2" t="s">
        <v>244</v>
      </c>
    </row>
    <row r="5" spans="1:7" ht="45" x14ac:dyDescent="0.25">
      <c r="A5" s="2" t="s">
        <v>61</v>
      </c>
      <c r="B5" s="2" t="s">
        <v>245</v>
      </c>
      <c r="C5" s="2" t="s">
        <v>246</v>
      </c>
      <c r="D5" s="2" t="s">
        <v>247</v>
      </c>
      <c r="E5" s="2" t="s">
        <v>248</v>
      </c>
      <c r="F5" s="2" t="s">
        <v>249</v>
      </c>
      <c r="G5" s="2" t="s">
        <v>250</v>
      </c>
    </row>
    <row r="6" spans="1:7" ht="30" x14ac:dyDescent="0.25">
      <c r="A6" s="2" t="s">
        <v>43</v>
      </c>
      <c r="B6" s="2" t="s">
        <v>251</v>
      </c>
      <c r="C6" s="2" t="s">
        <v>252</v>
      </c>
      <c r="D6" s="2" t="s">
        <v>253</v>
      </c>
      <c r="E6" s="2" t="s">
        <v>254</v>
      </c>
      <c r="F6" s="2" t="s">
        <v>255</v>
      </c>
      <c r="G6" s="2" t="s">
        <v>256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Asset Register</vt:lpstr>
      <vt:lpstr>TVAMatrix Practice</vt:lpstr>
      <vt:lpstr>Requirement Check</vt:lpstr>
      <vt:lpstr>Section 4.3.2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2026-10-02T08:28:22Z</dcterms:created>
  <dcterms:modified xsi:type="dcterms:W3CDTF">2026-10-02T08:50:13Z</dcterms:modified>
</cp:coreProperties>
</file>